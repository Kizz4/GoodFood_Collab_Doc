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\\dgdata\Direction des études$\Pédagogie_Ressources\Projets collaboratifs\MAALSI\Concevoir l'architecture du logiciel du SI\Rentrée 2025\"/>
    </mc:Choice>
  </mc:AlternateContent>
  <xr:revisionPtr revIDLastSave="0" documentId="13_ncr:1_{5D75553D-13AF-4178-8F7D-6098F797518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rille à poin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" i="1" l="1"/>
  <c r="E18" i="1"/>
  <c r="E17" i="1"/>
  <c r="E16" i="1"/>
  <c r="E15" i="1"/>
  <c r="E14" i="1"/>
  <c r="D55" i="1"/>
  <c r="E55" i="1"/>
  <c r="H4" i="1" l="1"/>
  <c r="C4" i="1" s="1"/>
  <c r="H6" i="1" l="1"/>
  <c r="B114" i="1" l="1"/>
  <c r="B105" i="1"/>
  <c r="B96" i="1"/>
  <c r="B84" i="1"/>
  <c r="E121" i="1"/>
  <c r="D121" i="1"/>
  <c r="E112" i="1"/>
  <c r="D112" i="1"/>
  <c r="E103" i="1"/>
  <c r="D103" i="1"/>
  <c r="D93" i="1" s="1"/>
  <c r="B75" i="1"/>
  <c r="B66" i="1"/>
  <c r="E91" i="1"/>
  <c r="D91" i="1"/>
  <c r="E82" i="1"/>
  <c r="D82" i="1"/>
  <c r="E73" i="1"/>
  <c r="D73" i="1"/>
  <c r="H55" i="1"/>
  <c r="H63" i="1" l="1"/>
  <c r="C63" i="1"/>
  <c r="D63" i="1"/>
  <c r="F63" i="1"/>
  <c r="H73" i="1"/>
  <c r="F14" i="1" s="1"/>
  <c r="H14" i="1" s="1"/>
  <c r="H91" i="1"/>
  <c r="F16" i="1" s="1"/>
  <c r="H103" i="1"/>
  <c r="F17" i="1" s="1"/>
  <c r="H82" i="1"/>
  <c r="F15" i="1" s="1"/>
  <c r="H112" i="1"/>
  <c r="F18" i="1" s="1"/>
  <c r="H121" i="1"/>
  <c r="F19" i="1" s="1"/>
  <c r="G19" i="1" s="1"/>
  <c r="H93" i="1"/>
  <c r="C93" i="1"/>
  <c r="F93" i="1"/>
  <c r="H19" i="1" l="1"/>
  <c r="H17" i="1"/>
  <c r="G17" i="1"/>
  <c r="H18" i="1"/>
  <c r="G18" i="1"/>
  <c r="H15" i="1"/>
  <c r="G15" i="1"/>
  <c r="C57" i="1"/>
  <c r="D57" i="1"/>
  <c r="G16" i="1"/>
  <c r="H16" i="1" s="1"/>
  <c r="G14" i="1"/>
  <c r="H57" i="1"/>
  <c r="F57" i="1"/>
</calcChain>
</file>

<file path=xl/sharedStrings.xml><?xml version="1.0" encoding="utf-8"?>
<sst xmlns="http://schemas.openxmlformats.org/spreadsheetml/2006/main" count="144" uniqueCount="59">
  <si>
    <t>Référence bloc de compétences :</t>
  </si>
  <si>
    <t>Nom bloc de compétences :</t>
  </si>
  <si>
    <t>Concevoir l’architecture du SI</t>
  </si>
  <si>
    <t>Veuillez ne pas toucher aux formules de calculs présentes dans la grille</t>
  </si>
  <si>
    <t>Promotion :</t>
  </si>
  <si>
    <t>Date :</t>
  </si>
  <si>
    <t>Coef</t>
  </si>
  <si>
    <t>Nom-Prénom</t>
  </si>
  <si>
    <t>Note collective</t>
  </si>
  <si>
    <t>Note individuelle</t>
  </si>
  <si>
    <t>Note* finale</t>
  </si>
  <si>
    <t>Candidat 1</t>
  </si>
  <si>
    <t>Candidat 2</t>
  </si>
  <si>
    <t>Candidat 3</t>
  </si>
  <si>
    <t>Candidat 4</t>
  </si>
  <si>
    <t>Candidat 5</t>
  </si>
  <si>
    <t>Candidat 6</t>
  </si>
  <si>
    <t>*</t>
  </si>
  <si>
    <t>A : Acquis : les objectifs définis sont atteints</t>
  </si>
  <si>
    <t xml:space="preserve">B : Acquis : les objectifs définis sont partiellement atteints - écarts mineurs constatés </t>
  </si>
  <si>
    <t>C : Non acquis : les objectifs définis ne sont pas atteints - écarts majeurs constatés</t>
  </si>
  <si>
    <t>D : Non acquis : les objectifs définis ne sont pas atteints - écarts critiques constatés</t>
  </si>
  <si>
    <t>Signature</t>
  </si>
  <si>
    <t>Evaluateur 1</t>
  </si>
  <si>
    <t>Evaluateur 2</t>
  </si>
  <si>
    <t>Evaluateur 3</t>
  </si>
  <si>
    <t>Commentaires :</t>
  </si>
  <si>
    <t>NOTATION DU TRAVAIL COLLECTIF</t>
  </si>
  <si>
    <t>Thèmes</t>
  </si>
  <si>
    <t>Critères</t>
  </si>
  <si>
    <t>Points à attribuer</t>
  </si>
  <si>
    <t>Points obtenus</t>
  </si>
  <si>
    <t>Commentaires/Argumentations</t>
  </si>
  <si>
    <t>Analyser l'existant</t>
  </si>
  <si>
    <t>Conception de l'architecture logicielle</t>
  </si>
  <si>
    <t>la démarche de conception de l'architecture est cohérente avec les activités d'architecture logicielle</t>
  </si>
  <si>
    <t>Conseiller les décideurs sur la stratégie de développement d’applicatifs de l’entreprise</t>
  </si>
  <si>
    <t>présentation orale</t>
  </si>
  <si>
    <t>la présentation du  groupe permet de comprendre comment le groupe s'est organisé.  Un bilan faisant apparaitre les points forts et les axes d'amélioration du groupe est présenté</t>
  </si>
  <si>
    <t>la présentation est fluide et professionnelle. le support de présentation est adapté à un professionnel IT</t>
  </si>
  <si>
    <t>Total :</t>
  </si>
  <si>
    <t>Note (lettre) collective :</t>
  </si>
  <si>
    <t>Conversion lettre</t>
  </si>
  <si>
    <t>NOTATION INDIVIDUELLE</t>
  </si>
  <si>
    <t>Compétences techniques</t>
  </si>
  <si>
    <t>Participation individuelle et efficacité</t>
  </si>
  <si>
    <t>Maîtrise des outils</t>
  </si>
  <si>
    <t>Réaction face à un imprévu</t>
  </si>
  <si>
    <t>Qualité de la prestation orale</t>
  </si>
  <si>
    <t>Animation, prise en compte de l’auditoire</t>
  </si>
  <si>
    <t>Les réponses aux questions sont argumentées et justifiées</t>
  </si>
  <si>
    <t>Note (lettre) individuelle :</t>
  </si>
  <si>
    <t>le schéma du SI existant présente l'ensemble des applications et leurs interactions</t>
  </si>
  <si>
    <t>Les exigences non fonctionnelles sont identifiées. Elle sont clairement définies</t>
  </si>
  <si>
    <t>les principaux styles architecturaux sont comparés en tenant comptes de l'analyse de l'existant dont les exigences non fonctionnelles identifiées</t>
  </si>
  <si>
    <t>le template de matrice de choix permet de justifier le choix d'une technologie. Les critères de comparaison sont cohérents avec le contexte du sujet</t>
  </si>
  <si>
    <t>l'architecture logique de l'application à développer est schématisée de façon détaillée. les composants logiques et leurs interactions sont représentés.</t>
  </si>
  <si>
    <t>les axes d'amélioration et les points faibles du SI sont identifiés et justifiés.</t>
  </si>
  <si>
    <t>les styles retenus sont identifiés. La justification est cohérente avec le sujet.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</si>
</sst>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1"/>
      <color theme="1"/>
      <name val="Calibri"/>
      <family val="2"/>
    </font>
    <font>
      <sz val="4"/>
      <color theme="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8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1">
    <xf numFmtId="0" fontId="0" fillId="0" borderId="0" xfId="0"/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11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7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2" fillId="0" borderId="0" xfId="0" applyFont="1" applyAlignment="1">
      <alignment horizontal="right"/>
    </xf>
    <xf numFmtId="0" fontId="5" fillId="0" borderId="0" xfId="0" applyFont="1"/>
    <xf numFmtId="0" fontId="7" fillId="0" borderId="2" xfId="0" applyFont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3" fillId="0" borderId="30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0" fillId="0" borderId="0" xfId="0" applyFont="1" applyAlignment="1">
      <alignment horizontal="right"/>
    </xf>
    <xf numFmtId="0" fontId="9" fillId="0" borderId="10" xfId="0" applyFont="1" applyBorder="1" applyAlignment="1">
      <alignment horizontal="center" vertical="center" wrapText="1"/>
    </xf>
    <xf numFmtId="0" fontId="2" fillId="0" borderId="9" xfId="0" applyFont="1" applyBorder="1" applyAlignment="1">
      <alignment vertical="center"/>
    </xf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vertical="center"/>
    </xf>
    <xf numFmtId="0" fontId="3" fillId="0" borderId="36" xfId="0" applyFont="1" applyBorder="1" applyAlignment="1">
      <alignment horizontal="center" vertical="center" wrapText="1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33" xfId="0" applyFont="1" applyBorder="1" applyAlignment="1">
      <alignment horizontal="center" vertical="center"/>
    </xf>
    <xf numFmtId="0" fontId="2" fillId="0" borderId="45" xfId="0" applyFont="1" applyBorder="1" applyAlignment="1">
      <alignment vertical="top"/>
    </xf>
    <xf numFmtId="0" fontId="2" fillId="0" borderId="46" xfId="0" applyFont="1" applyBorder="1" applyAlignment="1">
      <alignment vertical="top"/>
    </xf>
    <xf numFmtId="0" fontId="2" fillId="0" borderId="47" xfId="0" applyFont="1" applyBorder="1" applyAlignment="1">
      <alignment vertical="top"/>
    </xf>
    <xf numFmtId="0" fontId="2" fillId="0" borderId="0" xfId="0" applyFont="1" applyAlignment="1">
      <alignment horizontal="center" vertical="top"/>
    </xf>
    <xf numFmtId="0" fontId="0" fillId="0" borderId="7" xfId="0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13" fillId="5" borderId="0" xfId="0" applyFont="1" applyFill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2" fillId="0" borderId="0" xfId="0" quotePrefix="1" applyFont="1" applyAlignment="1">
      <alignment horizontal="right" vertical="center"/>
    </xf>
    <xf numFmtId="0" fontId="0" fillId="0" borderId="36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15" fillId="0" borderId="0" xfId="0" applyFont="1" applyAlignment="1">
      <alignment wrapText="1"/>
    </xf>
    <xf numFmtId="0" fontId="13" fillId="0" borderId="0" xfId="0" applyFont="1"/>
    <xf numFmtId="0" fontId="0" fillId="0" borderId="54" xfId="0" applyBorder="1" applyAlignment="1">
      <alignment horizontal="center" vertical="center"/>
    </xf>
    <xf numFmtId="0" fontId="16" fillId="0" borderId="0" xfId="0" applyFont="1"/>
    <xf numFmtId="0" fontId="17" fillId="0" borderId="25" xfId="0" applyFont="1" applyBorder="1" applyAlignment="1">
      <alignment horizontal="center" vertical="center" wrapText="1"/>
    </xf>
    <xf numFmtId="0" fontId="8" fillId="0" borderId="41" xfId="0" applyFont="1" applyBorder="1" applyAlignment="1">
      <alignment horizontal="center" vertical="center" wrapText="1"/>
    </xf>
    <xf numFmtId="0" fontId="8" fillId="0" borderId="42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40" xfId="0" applyFont="1" applyBorder="1" applyAlignment="1">
      <alignment horizontal="center" vertical="center" wrapText="1"/>
    </xf>
    <xf numFmtId="0" fontId="8" fillId="0" borderId="43" xfId="0" applyFont="1" applyBorder="1" applyAlignment="1">
      <alignment horizontal="center" vertical="center" wrapText="1"/>
    </xf>
    <xf numFmtId="0" fontId="12" fillId="4" borderId="12" xfId="0" applyFont="1" applyFill="1" applyBorder="1" applyAlignment="1">
      <alignment horizontal="center" vertical="center"/>
    </xf>
    <xf numFmtId="0" fontId="12" fillId="4" borderId="35" xfId="0" applyFont="1" applyFill="1" applyBorder="1" applyAlignment="1">
      <alignment horizontal="center" vertical="center"/>
    </xf>
    <xf numFmtId="0" fontId="12" fillId="4" borderId="13" xfId="0" applyFont="1" applyFill="1" applyBorder="1" applyAlignment="1">
      <alignment horizontal="center" vertical="center"/>
    </xf>
    <xf numFmtId="0" fontId="4" fillId="0" borderId="18" xfId="0" applyFont="1" applyBorder="1" applyAlignment="1">
      <alignment horizontal="left" vertical="center"/>
    </xf>
    <xf numFmtId="0" fontId="4" fillId="0" borderId="19" xfId="0" applyFont="1" applyBorder="1" applyAlignment="1">
      <alignment horizontal="left" vertical="center"/>
    </xf>
    <xf numFmtId="0" fontId="4" fillId="0" borderId="20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/>
    </xf>
    <xf numFmtId="0" fontId="2" fillId="0" borderId="35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/>
    </xf>
    <xf numFmtId="0" fontId="2" fillId="0" borderId="48" xfId="0" applyFont="1" applyBorder="1" applyAlignment="1">
      <alignment horizontal="center" vertical="top"/>
    </xf>
    <xf numFmtId="0" fontId="2" fillId="0" borderId="44" xfId="0" applyFont="1" applyBorder="1" applyAlignment="1">
      <alignment horizontal="center" vertical="top"/>
    </xf>
    <xf numFmtId="0" fontId="2" fillId="0" borderId="49" xfId="0" applyFont="1" applyBorder="1" applyAlignment="1">
      <alignment horizontal="center" vertical="top"/>
    </xf>
    <xf numFmtId="0" fontId="2" fillId="0" borderId="50" xfId="0" applyFont="1" applyBorder="1" applyAlignment="1">
      <alignment horizontal="center" vertical="top"/>
    </xf>
    <xf numFmtId="0" fontId="2" fillId="0" borderId="51" xfId="0" applyFont="1" applyBorder="1" applyAlignment="1">
      <alignment horizontal="center" vertical="top"/>
    </xf>
    <xf numFmtId="0" fontId="8" fillId="0" borderId="3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12" fillId="0" borderId="0" xfId="0" applyFont="1" applyAlignment="1">
      <alignment horizontal="right" vertical="center" wrapText="1"/>
    </xf>
    <xf numFmtId="0" fontId="12" fillId="0" borderId="48" xfId="0" applyFont="1" applyBorder="1" applyAlignment="1">
      <alignment horizontal="right" vertical="center" wrapText="1"/>
    </xf>
    <xf numFmtId="0" fontId="4" fillId="0" borderId="18" xfId="0" applyFont="1" applyBorder="1" applyAlignment="1">
      <alignment horizontal="left" vertical="center" wrapText="1"/>
    </xf>
    <xf numFmtId="0" fontId="4" fillId="0" borderId="25" xfId="0" applyFont="1" applyBorder="1" applyAlignment="1">
      <alignment horizontal="left" vertical="center" wrapText="1"/>
    </xf>
    <xf numFmtId="0" fontId="2" fillId="0" borderId="50" xfId="0" applyFont="1" applyBorder="1" applyAlignment="1">
      <alignment horizontal="center"/>
    </xf>
    <xf numFmtId="0" fontId="2" fillId="0" borderId="51" xfId="0" applyFont="1" applyBorder="1" applyAlignment="1">
      <alignment horizontal="center"/>
    </xf>
    <xf numFmtId="0" fontId="4" fillId="0" borderId="14" xfId="0" applyFont="1" applyBorder="1" applyAlignment="1">
      <alignment horizontal="center" vertical="center" wrapText="1"/>
    </xf>
    <xf numFmtId="0" fontId="4" fillId="0" borderId="43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2" fillId="0" borderId="27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4" borderId="35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5" fillId="0" borderId="28" xfId="0" applyFont="1" applyBorder="1" applyAlignment="1">
      <alignment horizontal="left" vertical="center" wrapText="1"/>
    </xf>
    <xf numFmtId="0" fontId="5" fillId="0" borderId="29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2" fillId="0" borderId="12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left" vertical="center" wrapText="1"/>
    </xf>
    <xf numFmtId="0" fontId="4" fillId="0" borderId="34" xfId="0" applyFont="1" applyBorder="1" applyAlignment="1">
      <alignment horizontal="left" vertical="center" wrapText="1"/>
    </xf>
    <xf numFmtId="0" fontId="4" fillId="0" borderId="18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5" fillId="0" borderId="21" xfId="0" applyFont="1" applyBorder="1" applyAlignment="1">
      <alignment horizontal="left" wrapText="1"/>
    </xf>
    <xf numFmtId="0" fontId="5" fillId="0" borderId="26" xfId="0" applyFont="1" applyBorder="1" applyAlignment="1">
      <alignment horizontal="left" wrapText="1"/>
    </xf>
    <xf numFmtId="0" fontId="4" fillId="0" borderId="21" xfId="0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5" fillId="0" borderId="18" xfId="0" applyFont="1" applyBorder="1" applyAlignment="1">
      <alignment horizontal="left" wrapText="1"/>
    </xf>
    <xf numFmtId="0" fontId="5" fillId="0" borderId="25" xfId="0" applyFont="1" applyBorder="1" applyAlignment="1">
      <alignment horizontal="left" wrapText="1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4" fillId="0" borderId="52" xfId="0" applyFont="1" applyBorder="1" applyAlignment="1">
      <alignment horizontal="left" vertical="center" wrapText="1"/>
    </xf>
    <xf numFmtId="0" fontId="4" fillId="0" borderId="53" xfId="0" applyFont="1" applyBorder="1" applyAlignment="1">
      <alignment horizontal="left" vertical="center" wrapText="1"/>
    </xf>
    <xf numFmtId="0" fontId="4" fillId="0" borderId="53" xfId="0" applyFont="1" applyBorder="1" applyAlignment="1">
      <alignment horizontal="center" vertical="center" wrapText="1"/>
    </xf>
    <xf numFmtId="0" fontId="4" fillId="0" borderId="55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2" fillId="0" borderId="18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125"/>
  <sheetViews>
    <sheetView showGridLines="0" tabSelected="1" view="pageLayout" zoomScale="130" zoomScaleNormal="110" zoomScalePageLayoutView="130" workbookViewId="0">
      <selection activeCell="H7" sqref="H7"/>
    </sheetView>
  </sheetViews>
  <sheetFormatPr baseColWidth="10" defaultColWidth="11.44140625" defaultRowHeight="14.4" x14ac:dyDescent="0.3"/>
  <cols>
    <col min="1" max="1" width="14.33203125" customWidth="1"/>
    <col min="2" max="2" width="11.44140625" customWidth="1"/>
    <col min="3" max="3" width="16.6640625" customWidth="1"/>
    <col min="4" max="5" width="8.6640625" customWidth="1"/>
    <col min="6" max="6" width="9.5546875" customWidth="1"/>
    <col min="7" max="7" width="8.6640625" customWidth="1"/>
    <col min="8" max="8" width="16.6640625" customWidth="1"/>
  </cols>
  <sheetData>
    <row r="2" spans="1:10" ht="10.199999999999999" customHeight="1" x14ac:dyDescent="0.3"/>
    <row r="3" spans="1:10" ht="15" thickBot="1" x14ac:dyDescent="0.35"/>
    <row r="4" spans="1:10" s="32" customFormat="1" ht="30.75" customHeight="1" thickBot="1" x14ac:dyDescent="0.5">
      <c r="A4" s="89" t="s">
        <v>0</v>
      </c>
      <c r="B4" s="90"/>
      <c r="C4" s="62" t="str">
        <f ca="1">LEFT(H4,(SEARCH("-",H4)-2))</f>
        <v xml:space="preserve"> INFMAALSIAPC1</v>
      </c>
      <c r="D4" s="63"/>
      <c r="E4" s="63"/>
      <c r="F4" s="63"/>
      <c r="G4" s="64"/>
      <c r="H4" s="52" t="str">
        <f ca="1">RIGHT(MID(CELL("nomfichier",A1),FIND("[",CELL("nomfichier",A1))+1,FIND("]", CELL("nomfichier",A1))-FIND("[",CELL("nomfichier",A1))-1),(LEN(MID(CELL("nomfichier",A1),FIND("[",CELL("nomfichier",A1))+1,FIND("]", CELL("nomfichier",A1))-FIND("[",CELL("nomfichier",A1))-1))-SEARCH("-",MID(CELL("nomfichier",A1),FIND("[",CELL("nomfichier",A1))+1,FIND("]", CELL("nomfichier",A1))-FIND("[",CELL("nomfichier",A1))-1))))</f>
        <v xml:space="preserve"> INFMAALSIAPC1 - Architecture logicielle.xlsx</v>
      </c>
    </row>
    <row r="5" spans="1:10" s="32" customFormat="1" ht="10.199999999999999" customHeight="1" thickBot="1" x14ac:dyDescent="0.5">
      <c r="B5" s="33"/>
      <c r="C5" s="47"/>
      <c r="D5" s="47"/>
      <c r="E5" s="47"/>
      <c r="F5" s="47"/>
      <c r="G5" s="47"/>
      <c r="H5" s="53"/>
    </row>
    <row r="6" spans="1:10" ht="34.5" customHeight="1" thickBot="1" x14ac:dyDescent="0.35">
      <c r="A6" s="89" t="s">
        <v>1</v>
      </c>
      <c r="B6" s="90"/>
      <c r="C6" s="62" t="s">
        <v>2</v>
      </c>
      <c r="D6" s="63"/>
      <c r="E6" s="63"/>
      <c r="F6" s="63"/>
      <c r="G6" s="64"/>
      <c r="H6" s="52" t="str">
        <f ca="1">RIGHT(H4,(LEN(H4)-SEARCH("-",H4)-1))</f>
        <v>Architecture logicielle.xlsx</v>
      </c>
    </row>
    <row r="7" spans="1:10" x14ac:dyDescent="0.3">
      <c r="J7" s="55" t="s">
        <v>3</v>
      </c>
    </row>
    <row r="8" spans="1:10" ht="15" thickBot="1" x14ac:dyDescent="0.35"/>
    <row r="9" spans="1:10" ht="24" customHeight="1" thickBot="1" x14ac:dyDescent="0.35">
      <c r="A9" s="46" t="s">
        <v>4</v>
      </c>
      <c r="B9" s="130"/>
      <c r="C9" s="131"/>
      <c r="E9" s="45" t="s">
        <v>5</v>
      </c>
      <c r="F9" s="130"/>
      <c r="G9" s="131"/>
    </row>
    <row r="10" spans="1:10" ht="15" thickBot="1" x14ac:dyDescent="0.35"/>
    <row r="11" spans="1:10" ht="12.6" customHeight="1" x14ac:dyDescent="0.3">
      <c r="E11" s="87" t="s">
        <v>6</v>
      </c>
      <c r="F11" s="88"/>
    </row>
    <row r="12" spans="1:10" ht="8.4" customHeight="1" thickBot="1" x14ac:dyDescent="0.35">
      <c r="E12" s="38">
        <v>1</v>
      </c>
      <c r="F12" s="39">
        <v>2</v>
      </c>
    </row>
    <row r="13" spans="1:10" ht="24.6" thickBot="1" x14ac:dyDescent="0.35">
      <c r="A13" s="22"/>
      <c r="B13" s="127" t="s">
        <v>7</v>
      </c>
      <c r="C13" s="128"/>
      <c r="D13" s="129"/>
      <c r="E13" s="16" t="s">
        <v>8</v>
      </c>
      <c r="F13" s="17" t="s">
        <v>9</v>
      </c>
      <c r="H13" s="35" t="s">
        <v>10</v>
      </c>
    </row>
    <row r="14" spans="1:10" s="4" customFormat="1" ht="19.2" customHeight="1" x14ac:dyDescent="0.3">
      <c r="A14" s="7" t="s">
        <v>11</v>
      </c>
      <c r="B14" s="68"/>
      <c r="C14" s="68"/>
      <c r="D14" s="68"/>
      <c r="E14" s="18" t="str">
        <f>IF(B14="","",H55)</f>
        <v/>
      </c>
      <c r="F14" s="19" t="str">
        <f>H73</f>
        <v/>
      </c>
      <c r="G14" s="34">
        <f>(E12*(IF(E14="A", 4, IF(E14="B", 3, IF(E14="C", 2, IF(E14="D",1, 0)))))+(F12*IF(F14="A", 4, IF(F14="B", 3, IF(F14="C", 2, IF(F14="D",1, 0))))))/(E12+F12)</f>
        <v>0</v>
      </c>
      <c r="H14" s="50" t="str">
        <f>IF(F14="",E14,IF(G14&gt;0,IF(G14&gt;=3.6, "A", IF(G14&gt;=2.6, "B", IF(G14&gt;=1.6, "C", "D"))),""))</f>
        <v/>
      </c>
    </row>
    <row r="15" spans="1:10" s="4" customFormat="1" ht="19.2" customHeight="1" x14ac:dyDescent="0.3">
      <c r="A15" s="7" t="s">
        <v>12</v>
      </c>
      <c r="B15" s="68"/>
      <c r="C15" s="68"/>
      <c r="D15" s="68"/>
      <c r="E15" s="18" t="str">
        <f>IF(B15="","",H55)</f>
        <v/>
      </c>
      <c r="F15" s="19" t="str">
        <f>H82</f>
        <v/>
      </c>
      <c r="G15" s="34">
        <f t="shared" ref="G15:G19" si="0">(IF(E15="A", 4, IF(E15="B", 3, IF(E15="C", 2, IF(E15="D",1, 0))))+(2*IF(F15="A", 4, IF(F15="B", 3, IF(F15="C", 2, IF(F15="D",1, 0))))))/3</f>
        <v>0</v>
      </c>
      <c r="H15" s="36" t="str">
        <f t="shared" ref="H15:H19" si="1">IF(F15="",E15,IF(G15&gt;0,IF(G15&gt;=3.6, "A", IF(G15&gt;=2.6, "B", IF(G15&gt;=1.6, "C", "D"))),""))</f>
        <v/>
      </c>
    </row>
    <row r="16" spans="1:10" s="4" customFormat="1" ht="19.2" customHeight="1" x14ac:dyDescent="0.3">
      <c r="A16" s="7" t="s">
        <v>13</v>
      </c>
      <c r="B16" s="68"/>
      <c r="C16" s="68"/>
      <c r="D16" s="68"/>
      <c r="E16" s="18" t="str">
        <f>IF(B16="","",H55)</f>
        <v/>
      </c>
      <c r="F16" s="19" t="str">
        <f>H91</f>
        <v/>
      </c>
      <c r="G16" s="34">
        <f t="shared" si="0"/>
        <v>0</v>
      </c>
      <c r="H16" s="36" t="str">
        <f t="shared" si="1"/>
        <v/>
      </c>
    </row>
    <row r="17" spans="1:8" s="4" customFormat="1" ht="19.2" customHeight="1" x14ac:dyDescent="0.3">
      <c r="A17" s="7" t="s">
        <v>14</v>
      </c>
      <c r="B17" s="68"/>
      <c r="C17" s="68"/>
      <c r="D17" s="68"/>
      <c r="E17" s="18" t="str">
        <f>IF(B17="","",H55)</f>
        <v/>
      </c>
      <c r="F17" s="19" t="str">
        <f>H103</f>
        <v/>
      </c>
      <c r="G17" s="34">
        <f t="shared" si="0"/>
        <v>0</v>
      </c>
      <c r="H17" s="36" t="str">
        <f t="shared" si="1"/>
        <v/>
      </c>
    </row>
    <row r="18" spans="1:8" s="4" customFormat="1" ht="19.2" customHeight="1" x14ac:dyDescent="0.3">
      <c r="A18" s="7" t="s">
        <v>15</v>
      </c>
      <c r="B18" s="68"/>
      <c r="C18" s="68"/>
      <c r="D18" s="68"/>
      <c r="E18" s="18" t="str">
        <f>IF(B18="","",H55)</f>
        <v/>
      </c>
      <c r="F18" s="19" t="str">
        <f>H112</f>
        <v/>
      </c>
      <c r="G18" s="34">
        <f t="shared" si="0"/>
        <v>0</v>
      </c>
      <c r="H18" s="36" t="str">
        <f t="shared" si="1"/>
        <v/>
      </c>
    </row>
    <row r="19" spans="1:8" s="4" customFormat="1" ht="19.2" customHeight="1" thickBot="1" x14ac:dyDescent="0.35">
      <c r="A19" s="8" t="s">
        <v>16</v>
      </c>
      <c r="B19" s="78"/>
      <c r="C19" s="78"/>
      <c r="D19" s="78"/>
      <c r="E19" s="20" t="str">
        <f>IF(B19="","",H55)</f>
        <v/>
      </c>
      <c r="F19" s="21" t="str">
        <f>H121</f>
        <v/>
      </c>
      <c r="G19" s="34">
        <f t="shared" si="0"/>
        <v>0</v>
      </c>
      <c r="H19" s="37" t="str">
        <f t="shared" si="1"/>
        <v/>
      </c>
    </row>
    <row r="20" spans="1:8" s="4" customFormat="1" ht="19.2" customHeight="1" x14ac:dyDescent="0.3">
      <c r="A20" s="23"/>
      <c r="B20" s="24"/>
      <c r="C20" s="24"/>
      <c r="D20" s="24"/>
      <c r="E20" s="25"/>
      <c r="F20" s="25"/>
      <c r="G20" s="34"/>
      <c r="H20" s="25"/>
    </row>
    <row r="21" spans="1:8" s="4" customFormat="1" ht="15" customHeight="1" x14ac:dyDescent="0.3">
      <c r="A21" s="49" t="s">
        <v>17</v>
      </c>
      <c r="B21" s="48" t="s">
        <v>18</v>
      </c>
      <c r="D21" s="24"/>
      <c r="E21" s="25"/>
      <c r="F21" s="25"/>
      <c r="G21" s="34"/>
      <c r="H21" s="25"/>
    </row>
    <row r="22" spans="1:8" s="4" customFormat="1" ht="15" customHeight="1" x14ac:dyDescent="0.3">
      <c r="A22" s="23"/>
      <c r="B22" s="48" t="s">
        <v>19</v>
      </c>
      <c r="D22" s="24"/>
      <c r="E22" s="25"/>
      <c r="F22" s="25"/>
      <c r="G22" s="34"/>
      <c r="H22" s="25"/>
    </row>
    <row r="23" spans="1:8" s="4" customFormat="1" ht="15" customHeight="1" x14ac:dyDescent="0.3">
      <c r="A23" s="23"/>
      <c r="B23" s="48" t="s">
        <v>20</v>
      </c>
      <c r="D23" s="24"/>
      <c r="E23" s="25"/>
      <c r="F23" s="25"/>
      <c r="G23" s="34"/>
      <c r="H23" s="25"/>
    </row>
    <row r="24" spans="1:8" s="4" customFormat="1" ht="15" customHeight="1" x14ac:dyDescent="0.3">
      <c r="A24" s="23"/>
      <c r="B24" s="48" t="s">
        <v>21</v>
      </c>
      <c r="D24" s="24"/>
      <c r="E24" s="25"/>
      <c r="F24" s="25"/>
      <c r="G24" s="34"/>
      <c r="H24" s="25"/>
    </row>
    <row r="25" spans="1:8" s="4" customFormat="1" ht="19.2" customHeight="1" thickBot="1" x14ac:dyDescent="0.35">
      <c r="A25" s="23"/>
      <c r="B25" s="24"/>
      <c r="C25" s="24"/>
      <c r="D25" s="24"/>
      <c r="E25" s="25"/>
      <c r="F25" s="25"/>
      <c r="G25" s="34"/>
      <c r="H25" s="25"/>
    </row>
    <row r="26" spans="1:8" ht="15" thickBot="1" x14ac:dyDescent="0.35">
      <c r="A26" s="3"/>
      <c r="B26" s="93" t="s">
        <v>7</v>
      </c>
      <c r="C26" s="93"/>
      <c r="D26" s="94"/>
      <c r="E26" s="69" t="s">
        <v>22</v>
      </c>
      <c r="F26" s="70"/>
      <c r="G26" s="71"/>
    </row>
    <row r="27" spans="1:8" ht="37.200000000000003" customHeight="1" x14ac:dyDescent="0.3">
      <c r="A27" s="6" t="s">
        <v>23</v>
      </c>
      <c r="B27" s="73"/>
      <c r="C27" s="73"/>
      <c r="D27" s="127"/>
      <c r="E27" s="72"/>
      <c r="F27" s="73"/>
      <c r="G27" s="74"/>
      <c r="H27" s="23"/>
    </row>
    <row r="28" spans="1:8" ht="37.200000000000003" customHeight="1" x14ac:dyDescent="0.3">
      <c r="A28" s="7" t="s">
        <v>24</v>
      </c>
      <c r="B28" s="68"/>
      <c r="C28" s="68"/>
      <c r="D28" s="139"/>
      <c r="E28" s="75"/>
      <c r="F28" s="68"/>
      <c r="G28" s="76"/>
      <c r="H28" s="23"/>
    </row>
    <row r="29" spans="1:8" ht="37.200000000000003" customHeight="1" thickBot="1" x14ac:dyDescent="0.35">
      <c r="A29" s="8" t="s">
        <v>25</v>
      </c>
      <c r="B29" s="78"/>
      <c r="C29" s="78"/>
      <c r="D29" s="140"/>
      <c r="E29" s="77"/>
      <c r="F29" s="78"/>
      <c r="G29" s="79"/>
      <c r="H29" s="23"/>
    </row>
    <row r="30" spans="1:8" ht="18" customHeight="1" thickBot="1" x14ac:dyDescent="0.35">
      <c r="A30" s="23"/>
      <c r="B30" s="24"/>
      <c r="C30" s="24"/>
      <c r="D30" s="24"/>
      <c r="E30" s="23"/>
      <c r="F30" s="23"/>
      <c r="G30" s="23"/>
      <c r="H30" s="23"/>
    </row>
    <row r="31" spans="1:8" ht="21" customHeight="1" x14ac:dyDescent="0.3">
      <c r="A31" s="40" t="s">
        <v>26</v>
      </c>
      <c r="B31" s="41"/>
      <c r="C31" s="41"/>
      <c r="D31" s="41"/>
      <c r="E31" s="41"/>
      <c r="F31" s="41"/>
      <c r="G31" s="41"/>
      <c r="H31" s="42"/>
    </row>
    <row r="32" spans="1:8" ht="16.95" customHeight="1" x14ac:dyDescent="0.3">
      <c r="A32" s="80"/>
      <c r="B32" s="81"/>
      <c r="C32" s="81"/>
      <c r="D32" s="81"/>
      <c r="E32" s="81"/>
      <c r="F32" s="81"/>
      <c r="G32" s="81"/>
      <c r="H32" s="82"/>
    </row>
    <row r="33" spans="1:8" ht="16.95" customHeight="1" x14ac:dyDescent="0.3">
      <c r="A33" s="83"/>
      <c r="B33" s="81"/>
      <c r="C33" s="81"/>
      <c r="D33" s="81"/>
      <c r="E33" s="81"/>
      <c r="F33" s="81"/>
      <c r="G33" s="81"/>
      <c r="H33" s="82"/>
    </row>
    <row r="34" spans="1:8" ht="16.95" customHeight="1" x14ac:dyDescent="0.3">
      <c r="A34" s="83"/>
      <c r="B34" s="81"/>
      <c r="C34" s="81"/>
      <c r="D34" s="81"/>
      <c r="E34" s="81"/>
      <c r="F34" s="81"/>
      <c r="G34" s="81"/>
      <c r="H34" s="82"/>
    </row>
    <row r="35" spans="1:8" ht="16.95" customHeight="1" x14ac:dyDescent="0.3">
      <c r="A35" s="83"/>
      <c r="B35" s="81"/>
      <c r="C35" s="81"/>
      <c r="D35" s="81"/>
      <c r="E35" s="81"/>
      <c r="F35" s="81"/>
      <c r="G35" s="81"/>
      <c r="H35" s="82"/>
    </row>
    <row r="36" spans="1:8" ht="16.95" customHeight="1" x14ac:dyDescent="0.3">
      <c r="A36" s="83"/>
      <c r="B36" s="81"/>
      <c r="C36" s="81"/>
      <c r="D36" s="81"/>
      <c r="E36" s="81"/>
      <c r="F36" s="81"/>
      <c r="G36" s="81"/>
      <c r="H36" s="82"/>
    </row>
    <row r="37" spans="1:8" ht="16.95" customHeight="1" thickBot="1" x14ac:dyDescent="0.35">
      <c r="A37" s="84"/>
      <c r="B37" s="85"/>
      <c r="C37" s="85"/>
      <c r="D37" s="85"/>
      <c r="E37" s="85"/>
      <c r="F37" s="85"/>
      <c r="G37" s="85"/>
      <c r="H37" s="86"/>
    </row>
    <row r="38" spans="1:8" ht="16.95" customHeight="1" x14ac:dyDescent="0.3">
      <c r="A38" s="43"/>
      <c r="B38" s="43"/>
      <c r="C38" s="43"/>
      <c r="D38" s="43"/>
      <c r="E38" s="43"/>
      <c r="F38" s="43"/>
      <c r="G38" s="43"/>
      <c r="H38" s="43"/>
    </row>
    <row r="39" spans="1:8" ht="16.95" customHeight="1" x14ac:dyDescent="0.3">
      <c r="A39" s="43"/>
      <c r="B39" s="43"/>
      <c r="C39" s="43"/>
      <c r="D39" s="43"/>
      <c r="E39" s="43"/>
      <c r="F39" s="43"/>
      <c r="G39" s="43"/>
      <c r="H39" s="43"/>
    </row>
    <row r="40" spans="1:8" ht="16.95" customHeight="1" x14ac:dyDescent="0.3">
      <c r="A40" s="43"/>
      <c r="B40" s="43"/>
      <c r="C40" s="43"/>
      <c r="D40" s="43"/>
      <c r="E40" s="43"/>
      <c r="F40" s="43"/>
      <c r="G40" s="43"/>
      <c r="H40" s="43"/>
    </row>
    <row r="41" spans="1:8" s="4" customFormat="1" ht="12.6" customHeight="1" thickBot="1" x14ac:dyDescent="0.35">
      <c r="A41" s="23"/>
      <c r="B41" s="24"/>
      <c r="C41" s="24"/>
      <c r="D41" s="24"/>
      <c r="E41" s="25"/>
      <c r="F41" s="25"/>
      <c r="G41" s="25"/>
    </row>
    <row r="42" spans="1:8" ht="15" thickBot="1" x14ac:dyDescent="0.35">
      <c r="A42" s="107" t="s">
        <v>27</v>
      </c>
      <c r="B42" s="108"/>
      <c r="C42" s="108"/>
      <c r="D42" s="108"/>
      <c r="E42" s="108"/>
      <c r="F42" s="108"/>
      <c r="G42" s="108"/>
      <c r="H42" s="109"/>
    </row>
    <row r="43" spans="1:8" ht="15" thickBot="1" x14ac:dyDescent="0.35"/>
    <row r="44" spans="1:8" ht="20.399999999999999" x14ac:dyDescent="0.3">
      <c r="A44" s="1" t="s">
        <v>28</v>
      </c>
      <c r="B44" s="103" t="s">
        <v>29</v>
      </c>
      <c r="C44" s="104"/>
      <c r="D44" s="30" t="s">
        <v>30</v>
      </c>
      <c r="E44" s="30" t="s">
        <v>31</v>
      </c>
      <c r="F44" s="99" t="s">
        <v>32</v>
      </c>
      <c r="G44" s="99"/>
      <c r="H44" s="100"/>
    </row>
    <row r="45" spans="1:8" ht="75.75" customHeight="1" x14ac:dyDescent="0.3">
      <c r="A45" s="95" t="s">
        <v>33</v>
      </c>
      <c r="B45" s="115" t="s">
        <v>52</v>
      </c>
      <c r="C45" s="116"/>
      <c r="D45" s="44">
        <v>2</v>
      </c>
      <c r="E45" s="44"/>
      <c r="F45" s="101"/>
      <c r="G45" s="101"/>
      <c r="H45" s="102"/>
    </row>
    <row r="46" spans="1:8" ht="73.2" customHeight="1" x14ac:dyDescent="0.3">
      <c r="A46" s="96"/>
      <c r="B46" s="132" t="s">
        <v>53</v>
      </c>
      <c r="C46" s="133"/>
      <c r="D46" s="18">
        <v>2</v>
      </c>
      <c r="E46" s="18"/>
      <c r="F46" s="65"/>
      <c r="G46" s="66"/>
      <c r="H46" s="67"/>
    </row>
    <row r="47" spans="1:8" ht="39.6" customHeight="1" x14ac:dyDescent="0.3">
      <c r="A47" s="97" t="s">
        <v>34</v>
      </c>
      <c r="B47" s="91" t="s">
        <v>35</v>
      </c>
      <c r="C47" s="92"/>
      <c r="D47" s="18">
        <v>1</v>
      </c>
      <c r="E47" s="18"/>
      <c r="F47" s="65"/>
      <c r="G47" s="66"/>
      <c r="H47" s="67"/>
    </row>
    <row r="48" spans="1:8" ht="99.6" customHeight="1" x14ac:dyDescent="0.3">
      <c r="A48" s="98"/>
      <c r="B48" s="91" t="s">
        <v>55</v>
      </c>
      <c r="C48" s="92"/>
      <c r="D48" s="18">
        <v>2</v>
      </c>
      <c r="E48" s="18"/>
      <c r="F48" s="65"/>
      <c r="G48" s="66"/>
      <c r="H48" s="67"/>
    </row>
    <row r="49" spans="1:8" ht="108" customHeight="1" x14ac:dyDescent="0.3">
      <c r="A49" s="98"/>
      <c r="B49" s="91" t="s">
        <v>56</v>
      </c>
      <c r="C49" s="92"/>
      <c r="D49" s="18">
        <v>3</v>
      </c>
      <c r="E49" s="18"/>
      <c r="F49" s="65"/>
      <c r="G49" s="66"/>
      <c r="H49" s="67"/>
    </row>
    <row r="50" spans="1:8" ht="77.25" customHeight="1" x14ac:dyDescent="0.3">
      <c r="A50" s="98"/>
      <c r="B50" s="91" t="s">
        <v>54</v>
      </c>
      <c r="C50" s="92"/>
      <c r="D50" s="18">
        <v>3</v>
      </c>
      <c r="E50" s="18"/>
      <c r="F50" s="65"/>
      <c r="G50" s="66"/>
      <c r="H50" s="67"/>
    </row>
    <row r="51" spans="1:8" ht="39.6" customHeight="1" x14ac:dyDescent="0.3">
      <c r="A51" s="96"/>
      <c r="B51" s="91" t="s">
        <v>58</v>
      </c>
      <c r="C51" s="92"/>
      <c r="D51" s="18">
        <v>1</v>
      </c>
      <c r="E51" s="18"/>
      <c r="F51" s="65"/>
      <c r="G51" s="66"/>
      <c r="H51" s="67"/>
    </row>
    <row r="52" spans="1:8" ht="83.4" customHeight="1" x14ac:dyDescent="0.3">
      <c r="A52" s="56" t="s">
        <v>36</v>
      </c>
      <c r="B52" s="91" t="s">
        <v>57</v>
      </c>
      <c r="C52" s="92"/>
      <c r="D52" s="18">
        <v>2</v>
      </c>
      <c r="E52" s="18"/>
      <c r="F52" s="65"/>
      <c r="G52" s="66"/>
      <c r="H52" s="67"/>
    </row>
    <row r="53" spans="1:8" ht="94.5" customHeight="1" x14ac:dyDescent="0.3">
      <c r="A53" s="134" t="s">
        <v>37</v>
      </c>
      <c r="B53" s="91" t="s">
        <v>38</v>
      </c>
      <c r="C53" s="92"/>
      <c r="D53" s="54">
        <v>2</v>
      </c>
      <c r="E53" s="54"/>
      <c r="F53" s="65"/>
      <c r="G53" s="66"/>
      <c r="H53" s="67"/>
    </row>
    <row r="54" spans="1:8" ht="56.4" customHeight="1" thickBot="1" x14ac:dyDescent="0.35">
      <c r="A54" s="135"/>
      <c r="B54" s="91" t="s">
        <v>39</v>
      </c>
      <c r="C54" s="92"/>
      <c r="D54" s="20">
        <v>2</v>
      </c>
      <c r="E54" s="20"/>
      <c r="F54" s="136"/>
      <c r="G54" s="137"/>
      <c r="H54" s="138"/>
    </row>
    <row r="55" spans="1:8" ht="15" thickBot="1" x14ac:dyDescent="0.35">
      <c r="C55" s="12" t="s">
        <v>40</v>
      </c>
      <c r="D55" s="15">
        <f>SUM(D45:D54)</f>
        <v>20</v>
      </c>
      <c r="E55" s="14" t="str">
        <f>IF(COUNTA(E45:E54)=0,"",SUM(E45:E54))</f>
        <v/>
      </c>
      <c r="F55" s="13"/>
      <c r="G55" s="29" t="s">
        <v>41</v>
      </c>
      <c r="H55" s="51" t="str">
        <f>IF(E55="","",IF(E55&gt;=MROUND(16*D55/20,1),"A",IF(E55&gt;=MROUND(12*D55/20,1),"B",IF(E55&gt;=MROUND(8*D55/20,1),"C","D"))))</f>
        <v/>
      </c>
    </row>
    <row r="56" spans="1:8" ht="15" thickBot="1" x14ac:dyDescent="0.35"/>
    <row r="57" spans="1:8" ht="29.4" thickBot="1" x14ac:dyDescent="0.35">
      <c r="A57" s="114" t="s">
        <v>42</v>
      </c>
      <c r="B57" s="104"/>
      <c r="C57" s="2" t="str">
        <f>"De "&amp;MROUND(16*D55/20,1)&amp;" à "&amp; D55 &amp;""&amp; CHAR(10) &amp; " =  A"</f>
        <v>De 16 à 20
 =  A</v>
      </c>
      <c r="D57" s="99" t="str">
        <f>"De "&amp;MROUND(12*D55/20,1)&amp;" à "&amp; MROUND(16*D55/20,1)-0.01 &amp;""&amp;CHAR(10)&amp; " =  B"</f>
        <v>De 12 à 15,99
 =  B</v>
      </c>
      <c r="E57" s="99"/>
      <c r="F57" s="99" t="str">
        <f>"De "&amp;MROUND(8*D55/20,1)&amp;" à "&amp; MROUND(12*D55/20,1)-0.01 &amp;""&amp;CHAR(10)&amp; " =  C"</f>
        <v>De 8 à 11,99
 =  C</v>
      </c>
      <c r="G57" s="99"/>
      <c r="H57" s="5" t="str">
        <f>"De "&amp;0&amp;" à "&amp; MROUND(8*D55/20,1)-0.01 &amp;""&amp;CHAR(10)&amp; " =  D"</f>
        <v>De 0 à 7,99
 =  D</v>
      </c>
    </row>
    <row r="60" spans="1:8" ht="15" thickBot="1" x14ac:dyDescent="0.35"/>
    <row r="61" spans="1:8" ht="15" thickBot="1" x14ac:dyDescent="0.35">
      <c r="A61" s="107" t="s">
        <v>43</v>
      </c>
      <c r="B61" s="108"/>
      <c r="C61" s="108"/>
      <c r="D61" s="108"/>
      <c r="E61" s="108"/>
      <c r="F61" s="108"/>
      <c r="G61" s="108"/>
      <c r="H61" s="109"/>
    </row>
    <row r="62" spans="1:8" ht="15" thickBot="1" x14ac:dyDescent="0.35"/>
    <row r="63" spans="1:8" ht="31.8" customHeight="1" thickBot="1" x14ac:dyDescent="0.35">
      <c r="A63" s="114" t="s">
        <v>42</v>
      </c>
      <c r="B63" s="104"/>
      <c r="C63" s="2" t="str">
        <f>IF(SUM(D68:D72)=0,"","De "&amp;MROUND(16*D73/20,1)&amp;" à "&amp; D73 &amp;""&amp; CHAR(10) &amp; " =  A")</f>
        <v>De 10 à 12
 =  A</v>
      </c>
      <c r="D63" s="99" t="str">
        <f>IF(SUM(D68:D72)=0,"","De "&amp;MROUND(12*D73/20,1)&amp;" à "&amp; MROUND(16*D73/20,1)-0.01 &amp;""&amp;CHAR(10)&amp; " =  B")</f>
        <v>De 7 à 9,99
 =  B</v>
      </c>
      <c r="E63" s="99"/>
      <c r="F63" s="99" t="str">
        <f>IF(SUM(D68:D72)=0,"","De "&amp;MROUND(8*D73/20,1)&amp;" à "&amp; MROUND(12*D73/20,1)-0.01 &amp;""&amp;CHAR(10)&amp; " =  C")</f>
        <v>De 5 à 6,99
 =  C</v>
      </c>
      <c r="G63" s="99"/>
      <c r="H63" s="5" t="str">
        <f>IF(SUM(D68:D72)=0,"","De "&amp;0&amp;" à "&amp; MROUND(8*D73/20,1)-0.01 &amp;""&amp;CHAR(10)&amp; " =  D")</f>
        <v>De 0 à 4,99
 =  D</v>
      </c>
    </row>
    <row r="65" spans="1:8" ht="15" thickBot="1" x14ac:dyDescent="0.35"/>
    <row r="66" spans="1:8" ht="15" thickBot="1" x14ac:dyDescent="0.35">
      <c r="A66" s="31" t="s">
        <v>11</v>
      </c>
      <c r="B66" s="105" t="str">
        <f>IF($B$14="","",$B$14)</f>
        <v/>
      </c>
      <c r="C66" s="105"/>
      <c r="D66" s="106"/>
    </row>
    <row r="67" spans="1:8" ht="21" thickBot="1" x14ac:dyDescent="0.35">
      <c r="A67" s="1" t="s">
        <v>28</v>
      </c>
      <c r="B67" s="103" t="s">
        <v>29</v>
      </c>
      <c r="C67" s="104"/>
      <c r="D67" s="30" t="s">
        <v>30</v>
      </c>
      <c r="E67" s="30" t="s">
        <v>31</v>
      </c>
      <c r="F67" s="99" t="s">
        <v>32</v>
      </c>
      <c r="G67" s="99"/>
      <c r="H67" s="100"/>
    </row>
    <row r="68" spans="1:8" ht="19.95" customHeight="1" x14ac:dyDescent="0.3">
      <c r="A68" s="59" t="s">
        <v>44</v>
      </c>
      <c r="B68" s="110" t="s">
        <v>45</v>
      </c>
      <c r="C68" s="111"/>
      <c r="D68" s="9">
        <v>2</v>
      </c>
      <c r="E68" s="9"/>
      <c r="F68" s="112"/>
      <c r="G68" s="112"/>
      <c r="H68" s="113"/>
    </row>
    <row r="69" spans="1:8" ht="19.95" customHeight="1" x14ac:dyDescent="0.3">
      <c r="A69" s="60"/>
      <c r="B69" s="125" t="s">
        <v>46</v>
      </c>
      <c r="C69" s="126"/>
      <c r="D69" s="10">
        <v>3</v>
      </c>
      <c r="E69" s="10"/>
      <c r="F69" s="117"/>
      <c r="G69" s="118"/>
      <c r="H69" s="119"/>
    </row>
    <row r="70" spans="1:8" ht="19.95" customHeight="1" x14ac:dyDescent="0.3">
      <c r="A70" s="61"/>
      <c r="B70" s="125" t="s">
        <v>47</v>
      </c>
      <c r="C70" s="126"/>
      <c r="D70" s="10">
        <v>4</v>
      </c>
      <c r="E70" s="10"/>
      <c r="F70" s="117"/>
      <c r="G70" s="118"/>
      <c r="H70" s="119"/>
    </row>
    <row r="71" spans="1:8" ht="27" customHeight="1" x14ac:dyDescent="0.3">
      <c r="A71" s="57" t="s">
        <v>48</v>
      </c>
      <c r="B71" s="125" t="s">
        <v>49</v>
      </c>
      <c r="C71" s="126"/>
      <c r="D71" s="10">
        <v>2</v>
      </c>
      <c r="E71" s="10"/>
      <c r="F71" s="117"/>
      <c r="G71" s="118"/>
      <c r="H71" s="119"/>
    </row>
    <row r="72" spans="1:8" ht="27" customHeight="1" thickBot="1" x14ac:dyDescent="0.35">
      <c r="A72" s="58"/>
      <c r="B72" s="120" t="s">
        <v>50</v>
      </c>
      <c r="C72" s="121"/>
      <c r="D72" s="11">
        <v>1</v>
      </c>
      <c r="E72" s="11"/>
      <c r="F72" s="122"/>
      <c r="G72" s="123"/>
      <c r="H72" s="124"/>
    </row>
    <row r="73" spans="1:8" ht="15" thickBot="1" x14ac:dyDescent="0.35">
      <c r="C73" s="12" t="s">
        <v>40</v>
      </c>
      <c r="D73" s="15">
        <f>IF(COUNTA(D68:D72)=0,"",SUM(D68:D72))</f>
        <v>12</v>
      </c>
      <c r="E73" s="14" t="str">
        <f>IF(COUNTA(E68:E72)=0,"",SUM(E68:E72))</f>
        <v/>
      </c>
      <c r="F73" s="13"/>
      <c r="G73" s="29" t="s">
        <v>51</v>
      </c>
      <c r="H73" s="51" t="str">
        <f>IF(E73="","",IF(E73&gt;=MROUND(16*D73/20,1),"A",IF(E73&gt;=MROUND(12*D73/20,1),"B",IF(E73&gt;=MROUND(8*D73/20,1),"C","D"))))</f>
        <v/>
      </c>
    </row>
    <row r="74" spans="1:8" ht="15" thickBot="1" x14ac:dyDescent="0.35">
      <c r="C74" s="12"/>
      <c r="D74" s="28"/>
      <c r="E74" s="27"/>
      <c r="F74" s="13"/>
      <c r="G74" s="26"/>
    </row>
    <row r="75" spans="1:8" ht="15" thickBot="1" x14ac:dyDescent="0.35">
      <c r="A75" s="31" t="s">
        <v>12</v>
      </c>
      <c r="B75" s="105" t="str">
        <f>IF($B$15="","",$B$15)</f>
        <v/>
      </c>
      <c r="C75" s="105"/>
      <c r="D75" s="106"/>
    </row>
    <row r="76" spans="1:8" ht="21" thickBot="1" x14ac:dyDescent="0.35">
      <c r="A76" s="1" t="s">
        <v>28</v>
      </c>
      <c r="B76" s="103" t="s">
        <v>29</v>
      </c>
      <c r="C76" s="104"/>
      <c r="D76" s="30" t="s">
        <v>30</v>
      </c>
      <c r="E76" s="30" t="s">
        <v>31</v>
      </c>
      <c r="F76" s="99" t="s">
        <v>32</v>
      </c>
      <c r="G76" s="99"/>
      <c r="H76" s="100"/>
    </row>
    <row r="77" spans="1:8" ht="19.95" customHeight="1" x14ac:dyDescent="0.3">
      <c r="A77" s="59" t="s">
        <v>44</v>
      </c>
      <c r="B77" s="110" t="s">
        <v>45</v>
      </c>
      <c r="C77" s="111"/>
      <c r="D77" s="9">
        <v>2</v>
      </c>
      <c r="E77" s="9"/>
      <c r="F77" s="112"/>
      <c r="G77" s="112"/>
      <c r="H77" s="113"/>
    </row>
    <row r="78" spans="1:8" ht="19.95" customHeight="1" x14ac:dyDescent="0.3">
      <c r="A78" s="60"/>
      <c r="B78" s="125" t="s">
        <v>46</v>
      </c>
      <c r="C78" s="126"/>
      <c r="D78" s="10">
        <v>3</v>
      </c>
      <c r="E78" s="10"/>
      <c r="F78" s="117"/>
      <c r="G78" s="118"/>
      <c r="H78" s="119"/>
    </row>
    <row r="79" spans="1:8" ht="19.95" customHeight="1" x14ac:dyDescent="0.3">
      <c r="A79" s="61"/>
      <c r="B79" s="125" t="s">
        <v>47</v>
      </c>
      <c r="C79" s="126"/>
      <c r="D79" s="10">
        <v>4</v>
      </c>
      <c r="E79" s="10"/>
      <c r="F79" s="117"/>
      <c r="G79" s="118"/>
      <c r="H79" s="119"/>
    </row>
    <row r="80" spans="1:8" ht="26.4" customHeight="1" x14ac:dyDescent="0.3">
      <c r="A80" s="57" t="s">
        <v>48</v>
      </c>
      <c r="B80" s="125" t="s">
        <v>49</v>
      </c>
      <c r="C80" s="126"/>
      <c r="D80" s="10">
        <v>2</v>
      </c>
      <c r="E80" s="10"/>
      <c r="F80" s="117"/>
      <c r="G80" s="118"/>
      <c r="H80" s="119"/>
    </row>
    <row r="81" spans="1:8" ht="28.2" customHeight="1" thickBot="1" x14ac:dyDescent="0.35">
      <c r="A81" s="58"/>
      <c r="B81" s="120" t="s">
        <v>50</v>
      </c>
      <c r="C81" s="121"/>
      <c r="D81" s="11">
        <v>1</v>
      </c>
      <c r="E81" s="11"/>
      <c r="F81" s="122"/>
      <c r="G81" s="123"/>
      <c r="H81" s="124"/>
    </row>
    <row r="82" spans="1:8" ht="15" thickBot="1" x14ac:dyDescent="0.35">
      <c r="C82" s="12" t="s">
        <v>40</v>
      </c>
      <c r="D82" s="15">
        <f>IF(COUNTA(D77:D81)=0,"",SUM(D77:D81))</f>
        <v>12</v>
      </c>
      <c r="E82" s="14" t="str">
        <f>IF(COUNTA(E77:E81)=0,"",SUM(E77:E81))</f>
        <v/>
      </c>
      <c r="F82" s="13"/>
      <c r="G82" s="29" t="s">
        <v>51</v>
      </c>
      <c r="H82" s="51" t="str">
        <f>IF(E82="","",IF(E82&gt;=MROUND(16*D82/20,1),"A",IF(E82&gt;=MROUND(12*D82/20,1),"B",IF(E82&gt;=MROUND(8*D82/20,1),"C","D"))))</f>
        <v/>
      </c>
    </row>
    <row r="83" spans="1:8" ht="15" thickBot="1" x14ac:dyDescent="0.35">
      <c r="C83" s="12"/>
      <c r="D83" s="28"/>
      <c r="E83" s="27"/>
      <c r="F83" s="13"/>
      <c r="G83" s="26"/>
    </row>
    <row r="84" spans="1:8" ht="15" thickBot="1" x14ac:dyDescent="0.35">
      <c r="A84" s="31" t="s">
        <v>13</v>
      </c>
      <c r="B84" s="105" t="str">
        <f>IF($B$16="","",$B$16)</f>
        <v/>
      </c>
      <c r="C84" s="105"/>
      <c r="D84" s="106"/>
    </row>
    <row r="85" spans="1:8" ht="21" thickBot="1" x14ac:dyDescent="0.35">
      <c r="A85" s="1" t="s">
        <v>28</v>
      </c>
      <c r="B85" s="103" t="s">
        <v>29</v>
      </c>
      <c r="C85" s="104"/>
      <c r="D85" s="30" t="s">
        <v>30</v>
      </c>
      <c r="E85" s="30" t="s">
        <v>31</v>
      </c>
      <c r="F85" s="99" t="s">
        <v>32</v>
      </c>
      <c r="G85" s="99"/>
      <c r="H85" s="100"/>
    </row>
    <row r="86" spans="1:8" ht="19.95" customHeight="1" x14ac:dyDescent="0.3">
      <c r="A86" s="59" t="s">
        <v>44</v>
      </c>
      <c r="B86" s="110" t="s">
        <v>45</v>
      </c>
      <c r="C86" s="111"/>
      <c r="D86" s="9">
        <v>2</v>
      </c>
      <c r="E86" s="9"/>
      <c r="F86" s="112"/>
      <c r="G86" s="112"/>
      <c r="H86" s="113"/>
    </row>
    <row r="87" spans="1:8" ht="19.95" customHeight="1" x14ac:dyDescent="0.3">
      <c r="A87" s="60"/>
      <c r="B87" s="125" t="s">
        <v>46</v>
      </c>
      <c r="C87" s="126"/>
      <c r="D87" s="10">
        <v>3</v>
      </c>
      <c r="E87" s="10"/>
      <c r="F87" s="117"/>
      <c r="G87" s="118"/>
      <c r="H87" s="119"/>
    </row>
    <row r="88" spans="1:8" ht="19.95" customHeight="1" x14ac:dyDescent="0.3">
      <c r="A88" s="61"/>
      <c r="B88" s="125" t="s">
        <v>47</v>
      </c>
      <c r="C88" s="126"/>
      <c r="D88" s="10">
        <v>4</v>
      </c>
      <c r="E88" s="10"/>
      <c r="F88" s="117"/>
      <c r="G88" s="118"/>
      <c r="H88" s="119"/>
    </row>
    <row r="89" spans="1:8" ht="28.2" customHeight="1" x14ac:dyDescent="0.3">
      <c r="A89" s="57" t="s">
        <v>48</v>
      </c>
      <c r="B89" s="125" t="s">
        <v>49</v>
      </c>
      <c r="C89" s="126"/>
      <c r="D89" s="10">
        <v>2</v>
      </c>
      <c r="E89" s="10"/>
      <c r="F89" s="117"/>
      <c r="G89" s="118"/>
      <c r="H89" s="119"/>
    </row>
    <row r="90" spans="1:8" ht="24.6" customHeight="1" thickBot="1" x14ac:dyDescent="0.35">
      <c r="A90" s="58"/>
      <c r="B90" s="120" t="s">
        <v>50</v>
      </c>
      <c r="C90" s="121"/>
      <c r="D90" s="11">
        <v>1</v>
      </c>
      <c r="E90" s="11"/>
      <c r="F90" s="122"/>
      <c r="G90" s="123"/>
      <c r="H90" s="124"/>
    </row>
    <row r="91" spans="1:8" ht="15" thickBot="1" x14ac:dyDescent="0.35">
      <c r="C91" s="12" t="s">
        <v>40</v>
      </c>
      <c r="D91" s="15">
        <f>IF(COUNTA(D86:D90)=0,"",SUM(D86:D90))</f>
        <v>12</v>
      </c>
      <c r="E91" s="14" t="str">
        <f>IF(COUNTA(E86:E90)=0,"",SUM(E86:E90))</f>
        <v/>
      </c>
      <c r="F91" s="13"/>
      <c r="G91" s="29" t="s">
        <v>51</v>
      </c>
      <c r="H91" s="51" t="str">
        <f>IF(E91="","",IF(E91&gt;=MROUND(16*D91/20,1),"A",IF(E91&gt;=MROUND(12*D91/20,1),"B",IF(E91&gt;=MROUND(8*D91/20,1),"C","D"))))</f>
        <v/>
      </c>
    </row>
    <row r="92" spans="1:8" ht="15" thickBot="1" x14ac:dyDescent="0.35"/>
    <row r="93" spans="1:8" ht="29.4" thickBot="1" x14ac:dyDescent="0.35">
      <c r="A93" s="114" t="s">
        <v>42</v>
      </c>
      <c r="B93" s="104"/>
      <c r="C93" s="2" t="str">
        <f>"De "&amp;MROUND(15.99*D103/20,1)&amp;" à "&amp; D103 &amp;""&amp; CHAR(10) &amp; " =  A"</f>
        <v>De 10 à 12
 =  A</v>
      </c>
      <c r="D93" s="99" t="str">
        <f>"De "&amp;MROUND(12*D103/20,1)&amp;" à "&amp; MROUND(15.99*D103/20,1)-0.01 &amp;""&amp;CHAR(10)&amp; " =  B"</f>
        <v>De 7 à 9,99
 =  B</v>
      </c>
      <c r="E93" s="99"/>
      <c r="F93" s="99" t="str">
        <f>"De "&amp;MROUND(8*D103/20,1)&amp;" à "&amp; MROUND(12*D103/20,1)-0.01 &amp;""&amp;CHAR(10)&amp; " =  C"</f>
        <v>De 5 à 6,99
 =  C</v>
      </c>
      <c r="G93" s="99"/>
      <c r="H93" s="5" t="str">
        <f>"De "&amp;0&amp;" à "&amp; MROUND(8*D103/20,1)-0.01 &amp;""&amp;CHAR(10)&amp; " =  D"</f>
        <v>De 0 à 4,99
 =  D</v>
      </c>
    </row>
    <row r="95" spans="1:8" ht="15" thickBot="1" x14ac:dyDescent="0.35"/>
    <row r="96" spans="1:8" ht="15" thickBot="1" x14ac:dyDescent="0.35">
      <c r="A96" s="31" t="s">
        <v>14</v>
      </c>
      <c r="B96" s="105" t="str">
        <f>IF($B$17="","",$B$17)</f>
        <v/>
      </c>
      <c r="C96" s="105"/>
      <c r="D96" s="106"/>
    </row>
    <row r="97" spans="1:8" ht="21" thickBot="1" x14ac:dyDescent="0.35">
      <c r="A97" s="1" t="s">
        <v>28</v>
      </c>
      <c r="B97" s="103" t="s">
        <v>29</v>
      </c>
      <c r="C97" s="104"/>
      <c r="D97" s="30" t="s">
        <v>30</v>
      </c>
      <c r="E97" s="30" t="s">
        <v>31</v>
      </c>
      <c r="F97" s="99" t="s">
        <v>32</v>
      </c>
      <c r="G97" s="99"/>
      <c r="H97" s="100"/>
    </row>
    <row r="98" spans="1:8" ht="19.95" customHeight="1" x14ac:dyDescent="0.3">
      <c r="A98" s="59" t="s">
        <v>44</v>
      </c>
      <c r="B98" s="110" t="s">
        <v>45</v>
      </c>
      <c r="C98" s="111"/>
      <c r="D98" s="9">
        <v>2</v>
      </c>
      <c r="E98" s="9"/>
      <c r="F98" s="112"/>
      <c r="G98" s="112"/>
      <c r="H98" s="113"/>
    </row>
    <row r="99" spans="1:8" ht="19.95" customHeight="1" x14ac:dyDescent="0.3">
      <c r="A99" s="60"/>
      <c r="B99" s="125" t="s">
        <v>46</v>
      </c>
      <c r="C99" s="126"/>
      <c r="D99" s="10">
        <v>3</v>
      </c>
      <c r="E99" s="10"/>
      <c r="F99" s="117"/>
      <c r="G99" s="118"/>
      <c r="H99" s="119"/>
    </row>
    <row r="100" spans="1:8" ht="19.2" customHeight="1" x14ac:dyDescent="0.3">
      <c r="A100" s="61"/>
      <c r="B100" s="125" t="s">
        <v>47</v>
      </c>
      <c r="C100" s="126"/>
      <c r="D100" s="10">
        <v>4</v>
      </c>
      <c r="E100" s="10"/>
      <c r="F100" s="117"/>
      <c r="G100" s="118"/>
      <c r="H100" s="119"/>
    </row>
    <row r="101" spans="1:8" ht="28.8" customHeight="1" x14ac:dyDescent="0.3">
      <c r="A101" s="57" t="s">
        <v>48</v>
      </c>
      <c r="B101" s="125" t="s">
        <v>49</v>
      </c>
      <c r="C101" s="126"/>
      <c r="D101" s="10">
        <v>2</v>
      </c>
      <c r="E101" s="10"/>
      <c r="F101" s="117"/>
      <c r="G101" s="118"/>
      <c r="H101" s="119"/>
    </row>
    <row r="102" spans="1:8" ht="25.2" customHeight="1" thickBot="1" x14ac:dyDescent="0.35">
      <c r="A102" s="58"/>
      <c r="B102" s="120" t="s">
        <v>50</v>
      </c>
      <c r="C102" s="121"/>
      <c r="D102" s="11">
        <v>1</v>
      </c>
      <c r="E102" s="11"/>
      <c r="F102" s="122"/>
      <c r="G102" s="123"/>
      <c r="H102" s="124"/>
    </row>
    <row r="103" spans="1:8" ht="15" thickBot="1" x14ac:dyDescent="0.35">
      <c r="C103" s="12" t="s">
        <v>40</v>
      </c>
      <c r="D103" s="15">
        <f>IF(COUNTA(D98:D102)=0,"",SUM(D98:D102))</f>
        <v>12</v>
      </c>
      <c r="E103" s="14" t="str">
        <f>IF(COUNTA(E98:E102)=0,"",SUM(E98:E102))</f>
        <v/>
      </c>
      <c r="F103" s="13"/>
      <c r="G103" s="29" t="s">
        <v>51</v>
      </c>
      <c r="H103" s="51" t="str">
        <f>IF(E103="","",IF(E103&gt;=MROUND(16*D103/20,1),"A",IF(E103&gt;=MROUND(12*D103/20,1),"B",IF(E103&gt;=MROUND(8*D103/20,1),"C","D"))))</f>
        <v/>
      </c>
    </row>
    <row r="104" spans="1:8" ht="15" thickBot="1" x14ac:dyDescent="0.35">
      <c r="C104" s="12"/>
      <c r="D104" s="28"/>
      <c r="E104" s="27"/>
      <c r="F104" s="13"/>
      <c r="G104" s="26"/>
    </row>
    <row r="105" spans="1:8" ht="15" thickBot="1" x14ac:dyDescent="0.35">
      <c r="A105" s="31" t="s">
        <v>15</v>
      </c>
      <c r="B105" s="105" t="str">
        <f>IF($B$18="","",$B$18)</f>
        <v/>
      </c>
      <c r="C105" s="105"/>
      <c r="D105" s="106"/>
    </row>
    <row r="106" spans="1:8" ht="21" thickBot="1" x14ac:dyDescent="0.35">
      <c r="A106" s="1" t="s">
        <v>28</v>
      </c>
      <c r="B106" s="103" t="s">
        <v>29</v>
      </c>
      <c r="C106" s="104"/>
      <c r="D106" s="30" t="s">
        <v>30</v>
      </c>
      <c r="E106" s="30" t="s">
        <v>31</v>
      </c>
      <c r="F106" s="99" t="s">
        <v>32</v>
      </c>
      <c r="G106" s="99"/>
      <c r="H106" s="100"/>
    </row>
    <row r="107" spans="1:8" ht="19.95" customHeight="1" x14ac:dyDescent="0.3">
      <c r="A107" s="59" t="s">
        <v>44</v>
      </c>
      <c r="B107" s="110" t="s">
        <v>45</v>
      </c>
      <c r="C107" s="111"/>
      <c r="D107" s="9">
        <v>2</v>
      </c>
      <c r="E107" s="9"/>
      <c r="F107" s="112"/>
      <c r="G107" s="112"/>
      <c r="H107" s="113"/>
    </row>
    <row r="108" spans="1:8" ht="19.95" customHeight="1" x14ac:dyDescent="0.3">
      <c r="A108" s="60"/>
      <c r="B108" s="125" t="s">
        <v>46</v>
      </c>
      <c r="C108" s="126"/>
      <c r="D108" s="10">
        <v>3</v>
      </c>
      <c r="E108" s="10"/>
      <c r="F108" s="117"/>
      <c r="G108" s="118"/>
      <c r="H108" s="119"/>
    </row>
    <row r="109" spans="1:8" ht="19.95" customHeight="1" x14ac:dyDescent="0.3">
      <c r="A109" s="61"/>
      <c r="B109" s="125" t="s">
        <v>47</v>
      </c>
      <c r="C109" s="126"/>
      <c r="D109" s="10">
        <v>4</v>
      </c>
      <c r="E109" s="10"/>
      <c r="F109" s="117"/>
      <c r="G109" s="118"/>
      <c r="H109" s="119"/>
    </row>
    <row r="110" spans="1:8" ht="27.6" customHeight="1" x14ac:dyDescent="0.3">
      <c r="A110" s="57" t="s">
        <v>48</v>
      </c>
      <c r="B110" s="125" t="s">
        <v>49</v>
      </c>
      <c r="C110" s="126"/>
      <c r="D110" s="10">
        <v>2</v>
      </c>
      <c r="E110" s="10"/>
      <c r="F110" s="117"/>
      <c r="G110" s="118"/>
      <c r="H110" s="119"/>
    </row>
    <row r="111" spans="1:8" ht="29.4" customHeight="1" thickBot="1" x14ac:dyDescent="0.35">
      <c r="A111" s="58"/>
      <c r="B111" s="120" t="s">
        <v>50</v>
      </c>
      <c r="C111" s="121"/>
      <c r="D111" s="11">
        <v>1</v>
      </c>
      <c r="E111" s="11"/>
      <c r="F111" s="122"/>
      <c r="G111" s="123"/>
      <c r="H111" s="124"/>
    </row>
    <row r="112" spans="1:8" ht="15" thickBot="1" x14ac:dyDescent="0.35">
      <c r="C112" s="12" t="s">
        <v>40</v>
      </c>
      <c r="D112" s="15">
        <f>IF(COUNTA(D107:D111)=0,"",SUM(D107:D111))</f>
        <v>12</v>
      </c>
      <c r="E112" s="14" t="str">
        <f>IF(COUNTA(E107:E111)=0,"",SUM(E107:E111))</f>
        <v/>
      </c>
      <c r="F112" s="13"/>
      <c r="G112" s="29" t="s">
        <v>51</v>
      </c>
      <c r="H112" s="51" t="str">
        <f>IF(E112="","",IF(E112&gt;=MROUND(16*D112/20,1),"A",IF(E112&gt;=MROUND(12*D112/20,1),"B",IF(E112&gt;=MROUND(8*D112/20,1),"C","D"))))</f>
        <v/>
      </c>
    </row>
    <row r="113" spans="1:8" ht="15" thickBot="1" x14ac:dyDescent="0.35">
      <c r="C113" s="12"/>
      <c r="D113" s="28"/>
      <c r="E113" s="27"/>
      <c r="F113" s="13"/>
      <c r="G113" s="26"/>
    </row>
    <row r="114" spans="1:8" ht="15" thickBot="1" x14ac:dyDescent="0.35">
      <c r="A114" s="31" t="s">
        <v>16</v>
      </c>
      <c r="B114" s="105" t="str">
        <f>IF($B$19="","",$B$19)</f>
        <v/>
      </c>
      <c r="C114" s="105"/>
      <c r="D114" s="106"/>
    </row>
    <row r="115" spans="1:8" ht="21" thickBot="1" x14ac:dyDescent="0.35">
      <c r="A115" s="1" t="s">
        <v>28</v>
      </c>
      <c r="B115" s="103" t="s">
        <v>29</v>
      </c>
      <c r="C115" s="104"/>
      <c r="D115" s="30" t="s">
        <v>30</v>
      </c>
      <c r="E115" s="30" t="s">
        <v>31</v>
      </c>
      <c r="F115" s="99" t="s">
        <v>32</v>
      </c>
      <c r="G115" s="99"/>
      <c r="H115" s="100"/>
    </row>
    <row r="116" spans="1:8" ht="19.95" customHeight="1" x14ac:dyDescent="0.3">
      <c r="A116" s="59" t="s">
        <v>44</v>
      </c>
      <c r="B116" s="110" t="s">
        <v>45</v>
      </c>
      <c r="C116" s="111"/>
      <c r="D116" s="9">
        <v>2</v>
      </c>
      <c r="E116" s="9"/>
      <c r="F116" s="112"/>
      <c r="G116" s="112"/>
      <c r="H116" s="113"/>
    </row>
    <row r="117" spans="1:8" ht="19.95" customHeight="1" x14ac:dyDescent="0.3">
      <c r="A117" s="60"/>
      <c r="B117" s="125" t="s">
        <v>46</v>
      </c>
      <c r="C117" s="126"/>
      <c r="D117" s="10">
        <v>3</v>
      </c>
      <c r="E117" s="10"/>
      <c r="F117" s="117"/>
      <c r="G117" s="118"/>
      <c r="H117" s="119"/>
    </row>
    <row r="118" spans="1:8" ht="25.2" customHeight="1" x14ac:dyDescent="0.3">
      <c r="A118" s="61"/>
      <c r="B118" s="125" t="s">
        <v>47</v>
      </c>
      <c r="C118" s="126"/>
      <c r="D118" s="10">
        <v>4</v>
      </c>
      <c r="E118" s="10"/>
      <c r="F118" s="117"/>
      <c r="G118" s="118"/>
      <c r="H118" s="119"/>
    </row>
    <row r="119" spans="1:8" ht="26.4" customHeight="1" x14ac:dyDescent="0.3">
      <c r="A119" s="57" t="s">
        <v>48</v>
      </c>
      <c r="B119" s="125" t="s">
        <v>49</v>
      </c>
      <c r="C119" s="126"/>
      <c r="D119" s="10">
        <v>2</v>
      </c>
      <c r="E119" s="10"/>
      <c r="F119" s="117"/>
      <c r="G119" s="118"/>
      <c r="H119" s="119"/>
    </row>
    <row r="120" spans="1:8" ht="37.200000000000003" customHeight="1" thickBot="1" x14ac:dyDescent="0.35">
      <c r="A120" s="58"/>
      <c r="B120" s="120" t="s">
        <v>50</v>
      </c>
      <c r="C120" s="121"/>
      <c r="D120" s="11">
        <v>1</v>
      </c>
      <c r="E120" s="11"/>
      <c r="F120" s="122"/>
      <c r="G120" s="123"/>
      <c r="H120" s="124"/>
    </row>
    <row r="121" spans="1:8" ht="15" thickBot="1" x14ac:dyDescent="0.35">
      <c r="C121" s="12" t="s">
        <v>40</v>
      </c>
      <c r="D121" s="15">
        <f>IF(COUNTA(D116:D120)=0,"",SUM(D116:D120))</f>
        <v>12</v>
      </c>
      <c r="E121" s="14" t="str">
        <f>IF(COUNTA(E116:E120)=0,"",SUM(E116:E120))</f>
        <v/>
      </c>
      <c r="F121" s="13"/>
      <c r="G121" s="29" t="s">
        <v>51</v>
      </c>
      <c r="H121" s="51" t="str">
        <f>IF(E121="","",IF(E121&gt;=MROUND(16*D121/20,1),"A",IF(E121&gt;=MROUND(12*D121/20,1),"B",IF(E121&gt;=MROUND(8*D121/20,1),"C","D"))))</f>
        <v/>
      </c>
    </row>
    <row r="122" spans="1:8" x14ac:dyDescent="0.3">
      <c r="C122" s="12"/>
      <c r="D122" s="28"/>
      <c r="E122" s="27"/>
      <c r="F122" s="13"/>
      <c r="G122" s="26"/>
    </row>
    <row r="123" spans="1:8" x14ac:dyDescent="0.3">
      <c r="C123" s="12"/>
      <c r="D123" s="28"/>
      <c r="E123" s="27"/>
      <c r="F123" s="13"/>
      <c r="G123" s="26"/>
    </row>
    <row r="124" spans="1:8" x14ac:dyDescent="0.3">
      <c r="C124" s="12"/>
      <c r="D124" s="28"/>
      <c r="E124" s="27"/>
      <c r="F124" s="13"/>
      <c r="G124" s="26"/>
    </row>
    <row r="125" spans="1:8" x14ac:dyDescent="0.3">
      <c r="C125" s="12"/>
      <c r="D125" s="28"/>
      <c r="E125" s="27"/>
      <c r="F125" s="13"/>
      <c r="G125" s="26"/>
    </row>
  </sheetData>
  <mergeCells count="149">
    <mergeCell ref="B97:C97"/>
    <mergeCell ref="B102:C102"/>
    <mergeCell ref="F102:H102"/>
    <mergeCell ref="B105:D105"/>
    <mergeCell ref="B106:C106"/>
    <mergeCell ref="F106:H106"/>
    <mergeCell ref="B99:C99"/>
    <mergeCell ref="F99:H99"/>
    <mergeCell ref="B100:C100"/>
    <mergeCell ref="F100:H100"/>
    <mergeCell ref="B101:C101"/>
    <mergeCell ref="F101:H101"/>
    <mergeCell ref="F97:H97"/>
    <mergeCell ref="B98:C98"/>
    <mergeCell ref="F98:H98"/>
    <mergeCell ref="B110:C110"/>
    <mergeCell ref="F110:H110"/>
    <mergeCell ref="B111:C111"/>
    <mergeCell ref="F111:H111"/>
    <mergeCell ref="B114:D114"/>
    <mergeCell ref="B107:C107"/>
    <mergeCell ref="F107:H107"/>
    <mergeCell ref="B108:C108"/>
    <mergeCell ref="F108:H108"/>
    <mergeCell ref="B109:C109"/>
    <mergeCell ref="F109:H109"/>
    <mergeCell ref="B118:C118"/>
    <mergeCell ref="F118:H118"/>
    <mergeCell ref="B119:C119"/>
    <mergeCell ref="F119:H119"/>
    <mergeCell ref="B120:C120"/>
    <mergeCell ref="F120:H120"/>
    <mergeCell ref="B115:C115"/>
    <mergeCell ref="F115:H115"/>
    <mergeCell ref="B116:C116"/>
    <mergeCell ref="F116:H116"/>
    <mergeCell ref="B117:C117"/>
    <mergeCell ref="F117:H117"/>
    <mergeCell ref="B28:D28"/>
    <mergeCell ref="B29:D29"/>
    <mergeCell ref="A93:B93"/>
    <mergeCell ref="D93:E93"/>
    <mergeCell ref="F93:G93"/>
    <mergeCell ref="B96:D96"/>
    <mergeCell ref="B90:C90"/>
    <mergeCell ref="F90:H90"/>
    <mergeCell ref="B87:C87"/>
    <mergeCell ref="F87:H87"/>
    <mergeCell ref="B88:C88"/>
    <mergeCell ref="F88:H88"/>
    <mergeCell ref="B89:C89"/>
    <mergeCell ref="F89:H89"/>
    <mergeCell ref="A42:H42"/>
    <mergeCell ref="B75:D75"/>
    <mergeCell ref="B77:C77"/>
    <mergeCell ref="F77:H77"/>
    <mergeCell ref="B78:C78"/>
    <mergeCell ref="F78:H78"/>
    <mergeCell ref="B79:C79"/>
    <mergeCell ref="F79:H79"/>
    <mergeCell ref="B80:C80"/>
    <mergeCell ref="B19:D19"/>
    <mergeCell ref="B13:D13"/>
    <mergeCell ref="B9:C9"/>
    <mergeCell ref="B72:C72"/>
    <mergeCell ref="F72:H72"/>
    <mergeCell ref="A63:B63"/>
    <mergeCell ref="D63:E63"/>
    <mergeCell ref="F63:G63"/>
    <mergeCell ref="B46:C46"/>
    <mergeCell ref="B47:C47"/>
    <mergeCell ref="B48:C48"/>
    <mergeCell ref="B54:C54"/>
    <mergeCell ref="B51:C51"/>
    <mergeCell ref="B49:C49"/>
    <mergeCell ref="B50:C50"/>
    <mergeCell ref="F50:H50"/>
    <mergeCell ref="F9:G9"/>
    <mergeCell ref="F46:H46"/>
    <mergeCell ref="F47:H47"/>
    <mergeCell ref="F49:H49"/>
    <mergeCell ref="F51:H51"/>
    <mergeCell ref="A53:A54"/>
    <mergeCell ref="F54:H54"/>
    <mergeCell ref="B27:D27"/>
    <mergeCell ref="B86:C86"/>
    <mergeCell ref="F86:H86"/>
    <mergeCell ref="F69:H69"/>
    <mergeCell ref="B70:C70"/>
    <mergeCell ref="F70:H70"/>
    <mergeCell ref="B71:C71"/>
    <mergeCell ref="F71:H71"/>
    <mergeCell ref="B76:C76"/>
    <mergeCell ref="F76:H76"/>
    <mergeCell ref="B69:C69"/>
    <mergeCell ref="B44:C44"/>
    <mergeCell ref="B45:C45"/>
    <mergeCell ref="F52:H52"/>
    <mergeCell ref="F53:H53"/>
    <mergeCell ref="F80:H80"/>
    <mergeCell ref="B81:C81"/>
    <mergeCell ref="F81:H81"/>
    <mergeCell ref="B84:D84"/>
    <mergeCell ref="B85:C85"/>
    <mergeCell ref="F85:H85"/>
    <mergeCell ref="F45:H45"/>
    <mergeCell ref="B67:C67"/>
    <mergeCell ref="F67:H67"/>
    <mergeCell ref="B66:D66"/>
    <mergeCell ref="A61:H61"/>
    <mergeCell ref="D57:E57"/>
    <mergeCell ref="F57:G57"/>
    <mergeCell ref="B68:C68"/>
    <mergeCell ref="F68:H68"/>
    <mergeCell ref="A57:B57"/>
    <mergeCell ref="C4:G4"/>
    <mergeCell ref="C6:G6"/>
    <mergeCell ref="F48:H48"/>
    <mergeCell ref="B14:D14"/>
    <mergeCell ref="B15:D15"/>
    <mergeCell ref="B16:D16"/>
    <mergeCell ref="B17:D17"/>
    <mergeCell ref="A71:A72"/>
    <mergeCell ref="A68:A70"/>
    <mergeCell ref="E26:G26"/>
    <mergeCell ref="E27:G27"/>
    <mergeCell ref="E28:G28"/>
    <mergeCell ref="E29:G29"/>
    <mergeCell ref="A32:H37"/>
    <mergeCell ref="E11:F11"/>
    <mergeCell ref="A4:B4"/>
    <mergeCell ref="A6:B6"/>
    <mergeCell ref="B52:C52"/>
    <mergeCell ref="B53:C53"/>
    <mergeCell ref="B26:D26"/>
    <mergeCell ref="A45:A46"/>
    <mergeCell ref="A47:A51"/>
    <mergeCell ref="B18:D18"/>
    <mergeCell ref="F44:H44"/>
    <mergeCell ref="A119:A120"/>
    <mergeCell ref="A77:A79"/>
    <mergeCell ref="A80:A81"/>
    <mergeCell ref="A86:A88"/>
    <mergeCell ref="A89:A90"/>
    <mergeCell ref="A98:A100"/>
    <mergeCell ref="A101:A102"/>
    <mergeCell ref="A107:A109"/>
    <mergeCell ref="A110:A111"/>
    <mergeCell ref="A116:A118"/>
  </mergeCells>
  <pageMargins left="0.39370078740157483" right="0.39370078740157483" top="0.74803149606299213" bottom="0.74803149606299213" header="0.31496062992125984" footer="0.31496062992125984"/>
  <pageSetup paperSize="9" orientation="portrait" r:id="rId1"/>
  <headerFooter>
    <oddHeader>&amp;L&amp;G&amp;R&amp;"-,Gras"&amp;14
Grille d'évaluation
&amp;12Projet collaboratif</oddHeader>
    <oddFooter>&amp;L&amp;F&amp;R&amp;P/&amp;N</oddFooter>
  </headerFooter>
  <ignoredErrors>
    <ignoredError sqref="E15" formula="1"/>
  </ignoredErrors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95FA1FE5B92B488381C7220737F4CE" ma:contentTypeVersion="0" ma:contentTypeDescription="Crée un document." ma:contentTypeScope="" ma:versionID="438c6d65c7cda52e1acf37170f74feb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e7f69b54ecd0d70d16947979bbe0f3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AE9EAEB-4E9A-4356-83DA-67A45E66116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DAF864F-66D9-472F-B7BF-C1E6354315AE}"/>
</file>

<file path=customXml/itemProps3.xml><?xml version="1.0" encoding="utf-8"?>
<ds:datastoreItem xmlns:ds="http://schemas.openxmlformats.org/officeDocument/2006/customXml" ds:itemID="{37C25D31-951E-4E56-8778-7B0A6CBA3CA7}">
  <ds:schemaRefs>
    <ds:schemaRef ds:uri="http://schemas.microsoft.com/office/2006/metadata/properties"/>
    <ds:schemaRef ds:uri="http://schemas.microsoft.com/office/infopath/2007/PartnerControls"/>
    <ds:schemaRef ds:uri="facd4a86-a219-496b-a886-3363aa8a917f"/>
    <ds:schemaRef ds:uri="748519c6-c597-4a53-a561-cffe1dc47ac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Grille à points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FACON Cédric</dc:creator>
  <cp:keywords/>
  <dc:description/>
  <cp:lastModifiedBy>FOLLIN Manon</cp:lastModifiedBy>
  <cp:revision/>
  <dcterms:created xsi:type="dcterms:W3CDTF">2020-02-01T09:20:16Z</dcterms:created>
  <dcterms:modified xsi:type="dcterms:W3CDTF">2025-07-16T14:39:07Z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0x010100B895FA1FE5B92B488381C7220737F4CE</vt:lpwstr>
  </property>
  <property fmtid="{D5CDD505-2E9C-101B-9397-08002B2CF9AE}" pid="3" name="Order">
    <vt:r8>77800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MediaServiceImageTags">
    <vt:lpwstr/>
  </property>
</Properties>
</file>